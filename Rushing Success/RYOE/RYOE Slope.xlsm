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579a1b86c13ae3a/Excel Files/Football/New/Rushing Success/RYOE/"/>
    </mc:Choice>
  </mc:AlternateContent>
  <xr:revisionPtr revIDLastSave="20" documentId="8_{58346957-EC76-4B42-9FCC-E1F76DE53799}" xr6:coauthVersionLast="47" xr6:coauthVersionMax="47" xr10:uidLastSave="{08158B0E-31D7-4939-AC82-DF901AFC570B}"/>
  <bookViews>
    <workbookView xWindow="-108" yWindow="-108" windowWidth="23256" windowHeight="12576" xr2:uid="{8B35281B-F4FE-4E0F-955A-E11E07237B8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" l="1"/>
  <c r="C6" i="1"/>
  <c r="B6" i="1"/>
  <c r="B7" i="1"/>
  <c r="D7" i="1" s="1"/>
  <c r="D13" i="1"/>
  <c r="D16" i="1"/>
  <c r="D3" i="1"/>
  <c r="D11" i="1"/>
  <c r="D10" i="1"/>
  <c r="D15" i="1"/>
  <c r="D2" i="1"/>
  <c r="D14" i="1"/>
  <c r="D12" i="1"/>
  <c r="D6" i="1"/>
  <c r="D9" i="1"/>
  <c r="B8" i="1"/>
  <c r="D8" i="1" s="1"/>
  <c r="D4" i="1"/>
</calcChain>
</file>

<file path=xl/sharedStrings.xml><?xml version="1.0" encoding="utf-8"?>
<sst xmlns="http://schemas.openxmlformats.org/spreadsheetml/2006/main" count="19" uniqueCount="19">
  <si>
    <t>Rush Att</t>
  </si>
  <si>
    <t>RYOE</t>
  </si>
  <si>
    <t>Name</t>
  </si>
  <si>
    <t>R.Jones</t>
  </si>
  <si>
    <t>A.Jones</t>
  </si>
  <si>
    <t>A.Kamara</t>
  </si>
  <si>
    <t>N.Hines</t>
  </si>
  <si>
    <t>L.Jackson</t>
  </si>
  <si>
    <t>N.Chubb</t>
  </si>
  <si>
    <t>D.Henry</t>
  </si>
  <si>
    <t>K.Hunt</t>
  </si>
  <si>
    <t>C.McCaffery</t>
  </si>
  <si>
    <t>First 75 K.Hunt</t>
  </si>
  <si>
    <t>RYOE/Rush (Slope)</t>
  </si>
  <si>
    <t>First 90 A.Kamara</t>
  </si>
  <si>
    <t>Best Seasons C.Mac</t>
  </si>
  <si>
    <t>Best Seasons 19-20 Chubb</t>
  </si>
  <si>
    <t>Best Seasons 19-20 Henry</t>
  </si>
  <si>
    <t>First 150 A.Jones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</si>
</sst>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3BDEAD-E591-4999-981A-78E70D65F182}" name="Table1" displayName="Table1" ref="A1:D16" totalsRowShown="0">
  <autoFilter ref="A1:D16" xr:uid="{2E3BDEAD-E591-4999-981A-78E70D65F182}"/>
  <sortState xmlns:xlrd2="http://schemas.microsoft.com/office/spreadsheetml/2017/richdata2" ref="A2:D16">
    <sortCondition descending="1" ref="D1:D16"/>
  </sortState>
  <tableColumns count="4">
    <tableColumn id="1" xr3:uid="{F15D01EA-19DE-434F-8209-CAB23FAC9B9A}" name="Name"/>
    <tableColumn id="2" xr3:uid="{9D15B2FD-0315-4145-9A4A-E5766BD177ED}" name="Rush Att"/>
    <tableColumn id="3" xr3:uid="{1C8D258F-4426-41A6-B1CC-878FFDBEE85D}" name="RYOE"/>
    <tableColumn id="4" xr3:uid="{279A370C-E403-465C-95C0-2A832A35F7B5}" name="RYOE/Rush (Slope)" dataDxfId="0">
      <calculatedColumnFormula>C2/B2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26581-F804-4735-8E5F-272B794E14F7}">
  <dimension ref="A1:D16"/>
  <sheetViews>
    <sheetView tabSelected="1" workbookViewId="0">
      <selection activeCell="F10" sqref="F10"/>
    </sheetView>
  </sheetViews>
  <sheetFormatPr defaultRowHeight="15" x14ac:dyDescent="0.25"/>
  <cols>
    <col min="1" max="1" width="23" bestFit="1" customWidth="1"/>
    <col min="2" max="2" width="9.1796875" customWidth="1"/>
    <col min="4" max="4" width="18.453125" style="1" customWidth="1"/>
  </cols>
  <sheetData>
    <row r="1" spans="1:4" x14ac:dyDescent="0.25">
      <c r="A1" t="s">
        <v>2</v>
      </c>
      <c r="B1" t="s">
        <v>0</v>
      </c>
      <c r="C1" t="s">
        <v>1</v>
      </c>
      <c r="D1" s="1" t="s">
        <v>13</v>
      </c>
    </row>
    <row r="2" spans="1:4" x14ac:dyDescent="0.25">
      <c r="A2" t="s">
        <v>12</v>
      </c>
      <c r="B2">
        <v>70</v>
      </c>
      <c r="C2">
        <v>200</v>
      </c>
      <c r="D2" s="1">
        <f>C2/B2</f>
        <v>2.8571428571428572</v>
      </c>
    </row>
    <row r="3" spans="1:4" x14ac:dyDescent="0.25">
      <c r="A3" t="s">
        <v>14</v>
      </c>
      <c r="B3">
        <v>90</v>
      </c>
      <c r="C3">
        <v>245</v>
      </c>
      <c r="D3" s="1">
        <f>C3/B3</f>
        <v>2.7222222222222223</v>
      </c>
    </row>
    <row r="4" spans="1:4" x14ac:dyDescent="0.25">
      <c r="A4" t="s">
        <v>7</v>
      </c>
      <c r="B4">
        <v>321</v>
      </c>
      <c r="C4">
        <v>690</v>
      </c>
      <c r="D4" s="1">
        <f>C4/B4</f>
        <v>2.1495327102803738</v>
      </c>
    </row>
    <row r="5" spans="1:4" x14ac:dyDescent="0.25">
      <c r="A5" t="s">
        <v>18</v>
      </c>
      <c r="B5">
        <v>150</v>
      </c>
      <c r="C5">
        <v>250</v>
      </c>
      <c r="D5" s="1">
        <f>C5/B5</f>
        <v>1.6666666666666667</v>
      </c>
    </row>
    <row r="6" spans="1:4" x14ac:dyDescent="0.25">
      <c r="A6" t="s">
        <v>16</v>
      </c>
      <c r="B6">
        <f>600-260</f>
        <v>340</v>
      </c>
      <c r="C6">
        <f>530-100</f>
        <v>430</v>
      </c>
      <c r="D6" s="1">
        <f>C6/B6</f>
        <v>1.2647058823529411</v>
      </c>
    </row>
    <row r="7" spans="1:4" x14ac:dyDescent="0.25">
      <c r="A7" t="s">
        <v>17</v>
      </c>
      <c r="B7">
        <f>1052-575</f>
        <v>477</v>
      </c>
      <c r="C7">
        <v>540</v>
      </c>
      <c r="D7" s="1">
        <f>C7/B7</f>
        <v>1.1320754716981132</v>
      </c>
    </row>
    <row r="8" spans="1:4" x14ac:dyDescent="0.25">
      <c r="A8" t="s">
        <v>15</v>
      </c>
      <c r="B8">
        <f>525-275</f>
        <v>250</v>
      </c>
      <c r="C8">
        <v>220</v>
      </c>
      <c r="D8" s="1">
        <f>C8/B8</f>
        <v>0.88</v>
      </c>
    </row>
    <row r="9" spans="1:4" x14ac:dyDescent="0.25">
      <c r="A9" t="s">
        <v>8</v>
      </c>
      <c r="B9">
        <v>664</v>
      </c>
      <c r="C9">
        <v>515</v>
      </c>
      <c r="D9" s="1">
        <f>C9/B9</f>
        <v>0.7756024096385542</v>
      </c>
    </row>
    <row r="10" spans="1:4" x14ac:dyDescent="0.25">
      <c r="A10" t="s">
        <v>4</v>
      </c>
      <c r="B10">
        <v>640</v>
      </c>
      <c r="C10">
        <v>485</v>
      </c>
      <c r="D10" s="1">
        <f>C10/B10</f>
        <v>0.7578125</v>
      </c>
    </row>
    <row r="11" spans="1:4" x14ac:dyDescent="0.25">
      <c r="A11" t="s">
        <v>5</v>
      </c>
      <c r="B11">
        <v>675</v>
      </c>
      <c r="C11">
        <v>465</v>
      </c>
      <c r="D11" s="1">
        <f>C11/B11</f>
        <v>0.68888888888888888</v>
      </c>
    </row>
    <row r="12" spans="1:4" x14ac:dyDescent="0.25">
      <c r="A12" t="s">
        <v>9</v>
      </c>
      <c r="B12">
        <v>1052</v>
      </c>
      <c r="C12">
        <v>540</v>
      </c>
      <c r="D12" s="1">
        <f>C12/B12</f>
        <v>0.51330798479087447</v>
      </c>
    </row>
    <row r="13" spans="1:4" x14ac:dyDescent="0.25">
      <c r="A13" t="s">
        <v>11</v>
      </c>
      <c r="B13">
        <v>682</v>
      </c>
      <c r="C13">
        <v>150</v>
      </c>
      <c r="D13" s="1">
        <f>C13/B13</f>
        <v>0.21994134897360704</v>
      </c>
    </row>
    <row r="14" spans="1:4" x14ac:dyDescent="0.25">
      <c r="A14" t="s">
        <v>10</v>
      </c>
      <c r="B14">
        <v>682</v>
      </c>
      <c r="C14">
        <v>90</v>
      </c>
      <c r="D14" s="1">
        <f>C14/B14</f>
        <v>0.13196480938416422</v>
      </c>
    </row>
    <row r="15" spans="1:4" x14ac:dyDescent="0.25">
      <c r="A15" t="s">
        <v>3</v>
      </c>
      <c r="B15">
        <v>369</v>
      </c>
      <c r="C15">
        <v>20</v>
      </c>
      <c r="D15" s="1">
        <f>C15/B15</f>
        <v>5.4200542005420058E-2</v>
      </c>
    </row>
    <row r="16" spans="1:4" x14ac:dyDescent="0.25">
      <c r="A16" t="s">
        <v>6</v>
      </c>
      <c r="B16">
        <v>225</v>
      </c>
      <c r="C16">
        <v>-125</v>
      </c>
      <c r="D16" s="1">
        <f>C16/B16</f>
        <v>-0.55555555555555558</v>
      </c>
    </row>
  </sheetData>
  <conditionalFormatting sqref="D1: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Seth Lanza</dc:creator>
  <cp:lastModifiedBy>Seth Lanza</cp:lastModifiedBy>
  <dcterms:created xsi:type="dcterms:W3CDTF">2021-08-01T20:28:53Z</dcterms:created>
  <dcterms:modified xsi:type="dcterms:W3CDTF">2021-08-01T20:44:38Z</dcterms:modified>
</cp:coreProperties>
</file>